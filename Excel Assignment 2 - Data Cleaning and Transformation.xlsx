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man\Downloads\"/>
    </mc:Choice>
  </mc:AlternateContent>
  <xr:revisionPtr revIDLastSave="0" documentId="13_ncr:1_{4ECE232A-D371-482B-B903-A4202E342B5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olutions" sheetId="3" r:id="rId3"/>
  </sheets>
  <definedNames>
    <definedName name="_xlnm._FilterDatabase" localSheetId="2" hidden="1">Solutions!$A$1:$AD$1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</calcChain>
</file>

<file path=xl/sharedStrings.xml><?xml version="1.0" encoding="utf-8"?>
<sst xmlns="http://schemas.openxmlformats.org/spreadsheetml/2006/main" count="351" uniqueCount="179">
  <si>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</si>
  <si>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</si>
  <si>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</si>
  <si>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</si>
  <si>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</si>
  <si>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</si>
  <si>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</si>
  <si>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</si>
  <si>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</si>
  <si>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</si>
  <si>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</si>
  <si>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</si>
  <si>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</si>
  <si>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</si>
  <si>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</si>
  <si>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</si>
  <si>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</si>
  <si>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</si>
  <si>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</si>
  <si>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</si>
  <si>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</si>
  <si>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</si>
  <si>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</si>
  <si>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</si>
  <si>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</si>
  <si>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</si>
  <si>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</si>
  <si>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</si>
  <si>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</si>
  <si>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</si>
  <si>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</si>
  <si>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</si>
  <si>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</si>
  <si>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</si>
  <si>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</si>
  <si>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</si>
  <si>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</si>
  <si>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</si>
  <si>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</si>
  <si>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</si>
  <si>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</si>
  <si>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</si>
  <si>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</si>
  <si>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</si>
  <si>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</si>
  <si>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</si>
  <si>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</si>
  <si>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</si>
  <si>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</si>
  <si>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</si>
  <si>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</si>
  <si>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</si>
  <si>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</si>
  <si>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</si>
  <si>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</si>
  <si>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</si>
  <si>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</si>
  <si>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</si>
  <si>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</si>
  <si>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</si>
  <si>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</si>
  <si>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</si>
  <si>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</si>
  <si>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</si>
  <si>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</si>
  <si>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</si>
  <si>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</si>
  <si>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</si>
  <si>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</si>
  <si>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</si>
  <si>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</si>
  <si>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</si>
  <si>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</si>
  <si>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</si>
  <si>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</si>
  <si>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</si>
  <si>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</si>
  <si>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</si>
  <si>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</si>
  <si>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</si>
  <si>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</si>
  <si>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</si>
  <si>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</si>
  <si>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</si>
  <si>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</si>
  <si>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</si>
  <si>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</si>
  <si>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</si>
  <si>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</si>
  <si>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</si>
  <si>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</si>
  <si>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</si>
  <si>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</si>
  <si>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</si>
  <si>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</si>
  <si>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</si>
  <si>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</si>
  <si>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</si>
  <si>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</si>
  <si>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</si>
  <si>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</si>
  <si>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</si>
  <si>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</si>
  <si>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</si>
  <si>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</si>
  <si>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</si>
  <si>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</si>
  <si>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</si>
  <si>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</si>
  <si>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</si>
  <si>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</si>
  <si>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</si>
  <si>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</si>
  <si>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</si>
  <si>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</si>
  <si>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</si>
  <si>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</si>
  <si>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</si>
  <si>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</si>
  <si>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</si>
  <si>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</si>
  <si>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</si>
  <si>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</si>
  <si>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</si>
  <si>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</si>
  <si>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</si>
  <si>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</si>
  <si>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</si>
  <si>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</si>
  <si>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</si>
  <si>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Answers</t>
  </si>
  <si>
    <t>Filled with Median = 130</t>
  </si>
  <si>
    <t>Filtered by name and given the same category and the backpack given same category as "Laptop Bag"</t>
  </si>
  <si>
    <t>Laptop,Headphones,Smartphones</t>
  </si>
  <si>
    <t>Electroni,Electronics</t>
  </si>
  <si>
    <t>Correct them by using "find &amp; replace" function by short key of "ctrl+f"</t>
  </si>
  <si>
    <t>Duplicates find by using "Conditional Formatting" and removed the duplicate rows-17-JUN-IN,16-APR-ES&amp;21-AUG-CA</t>
  </si>
  <si>
    <t>Manufacturing Date</t>
  </si>
  <si>
    <t>Country Code</t>
  </si>
  <si>
    <t>"Manufacturing Date"&amp; "Country Code" has been seperated by using"Left &amp; Right" Equation</t>
  </si>
  <si>
    <t>Product Brand</t>
  </si>
  <si>
    <t>Merge Brand Name &amp; Product Name to Brand Product Name using Formula '&amp;"</t>
  </si>
  <si>
    <t>Price column changed to currency format</t>
  </si>
  <si>
    <t>Manufacturing Date to DD-MM-YYYY format</t>
  </si>
  <si>
    <t>28-JAN</t>
  </si>
  <si>
    <t>15-FEB</t>
  </si>
  <si>
    <t>03-MAR</t>
  </si>
  <si>
    <t>11-APR</t>
  </si>
  <si>
    <t>22-MAY</t>
  </si>
  <si>
    <t>07-JUN</t>
  </si>
  <si>
    <t>19-JUL</t>
  </si>
  <si>
    <t>23-AUG</t>
  </si>
  <si>
    <t>05-SEP</t>
  </si>
  <si>
    <t>14-OCT</t>
  </si>
  <si>
    <t>17-JUN</t>
  </si>
  <si>
    <t>25-NOV</t>
  </si>
  <si>
    <t>08-DEC</t>
  </si>
  <si>
    <t>18-FEB</t>
  </si>
  <si>
    <t>16-APR</t>
  </si>
  <si>
    <t>21-AUG</t>
  </si>
  <si>
    <t>20-AUG</t>
  </si>
  <si>
    <t>27-JAN</t>
  </si>
  <si>
    <t>01-MAR</t>
  </si>
  <si>
    <t>14-AUG</t>
  </si>
  <si>
    <t>14-MAY</t>
  </si>
  <si>
    <t>09-JAN</t>
  </si>
  <si>
    <t>29-SEP</t>
  </si>
  <si>
    <t>03-JUN</t>
  </si>
  <si>
    <t>11-JUL</t>
  </si>
  <si>
    <t>07-MAR</t>
  </si>
  <si>
    <t>13-APR</t>
  </si>
  <si>
    <t>24-MAY</t>
  </si>
  <si>
    <t>02-DEC</t>
  </si>
  <si>
    <t>09-JUL</t>
  </si>
  <si>
    <t>Date</t>
  </si>
  <si>
    <t>Year</t>
  </si>
  <si>
    <t>Manufacturing Date column to  "DD-MM-YYYY " format (Created a Year Column then using  equation "&amp;" and merged both and the format changed to DD-MM-YYYY)</t>
  </si>
  <si>
    <t>Apply data bar or color scales  in the "Price" column by using "Conditional Formatting"</t>
  </si>
  <si>
    <t>Custom Rule In The "Category" Column To Highlight Cells Where The Category Is "Electronics." By Using "Conditional Formatting-Highlight Cell Rules-More Rule-Format Only Cells That Contains-Specific Text"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</si>
</sst>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$-45C]#,##0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i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0" fillId="0" borderId="0" xfId="0" applyFill="1" applyBorder="1" applyAlignment="1"/>
    <xf numFmtId="0" fontId="0" fillId="0" borderId="1" xfId="0" applyFill="1" applyBorder="1" applyAlignment="1"/>
    <xf numFmtId="0" fontId="8" fillId="0" borderId="2" xfId="0" applyFont="1" applyFill="1" applyBorder="1" applyAlignment="1">
      <alignment horizontal="centerContinuous"/>
    </xf>
    <xf numFmtId="0" fontId="9" fillId="0" borderId="0" xfId="0" applyFont="1" applyAlignment="1"/>
    <xf numFmtId="0" fontId="10" fillId="0" borderId="0" xfId="0" applyFont="1" applyAlignment="1"/>
    <xf numFmtId="0" fontId="9" fillId="0" borderId="0" xfId="0" applyFont="1" applyAlignment="1">
      <alignment horizontal="center"/>
    </xf>
    <xf numFmtId="0" fontId="11" fillId="0" borderId="0" xfId="0" applyFont="1"/>
    <xf numFmtId="0" fontId="7" fillId="2" borderId="0" xfId="0" applyFont="1" applyFill="1" applyAlignment="1">
      <alignment horizontal="center" wrapText="1"/>
    </xf>
    <xf numFmtId="169" fontId="5" fillId="0" borderId="0" xfId="0" applyNumberFormat="1" applyFont="1"/>
    <xf numFmtId="169" fontId="5" fillId="3" borderId="0" xfId="0" applyNumberFormat="1" applyFont="1" applyFill="1"/>
    <xf numFmtId="0" fontId="11" fillId="0" borderId="0" xfId="0" applyFont="1" applyAlignment="1"/>
    <xf numFmtId="14" fontId="5" fillId="0" borderId="0" xfId="0" applyNumberFormat="1" applyFont="1"/>
    <xf numFmtId="0" fontId="12" fillId="2" borderId="0" xfId="0" applyFont="1" applyFill="1" applyAlignment="1">
      <alignment horizontal="center"/>
    </xf>
  </cellXfs>
  <cellStyles count="1">
    <cellStyle name="Normal" xfId="0" builtinId="0"/>
  </cellStyles>
  <dxfs count="5"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C25" sqref="C2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18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3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3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3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3">
      <c r="B20" s="6"/>
      <c r="C20" s="22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3">
      <c r="B21" s="6"/>
      <c r="C21" s="22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3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3">
      <c r="B24" s="6"/>
      <c r="C24" s="22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3">
      <c r="B25" s="6"/>
      <c r="C25" s="22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3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sqref="A1:XFD1048576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16" ht="15.75" customHeight="1" x14ac:dyDescent="0.25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16" ht="15.75" customHeight="1" x14ac:dyDescent="0.3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I3" s="5"/>
      <c r="J3" s="6"/>
      <c r="K3" s="6"/>
      <c r="L3" s="6"/>
      <c r="M3" s="6"/>
      <c r="N3" s="6"/>
      <c r="O3" s="6"/>
      <c r="P3" s="6"/>
    </row>
    <row r="4" spans="1:16" ht="15.75" customHeight="1" x14ac:dyDescent="0.3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I4" s="6"/>
      <c r="J4" s="7"/>
      <c r="K4" s="6"/>
      <c r="L4" s="6"/>
      <c r="M4" s="6"/>
      <c r="N4" s="6"/>
      <c r="O4" s="6"/>
      <c r="P4" s="6"/>
    </row>
    <row r="5" spans="1:16" ht="15.75" customHeight="1" x14ac:dyDescent="0.3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I5" s="6"/>
      <c r="J5" s="7"/>
      <c r="K5" s="6"/>
      <c r="L5" s="6"/>
      <c r="M5" s="6"/>
      <c r="N5" s="6"/>
      <c r="O5" s="6"/>
      <c r="P5" s="6"/>
    </row>
    <row r="6" spans="1:16" ht="15.75" customHeight="1" x14ac:dyDescent="0.25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16" ht="15.75" customHeight="1" x14ac:dyDescent="0.25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</row>
    <row r="8" spans="1:16" ht="15.75" customHeight="1" x14ac:dyDescent="0.25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16" ht="15.75" customHeight="1" x14ac:dyDescent="0.25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16" ht="15.75" customHeight="1" x14ac:dyDescent="0.25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16" ht="15.75" customHeight="1" x14ac:dyDescent="0.25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16" ht="15.75" customHeight="1" x14ac:dyDescent="0.25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16" ht="15.75" customHeight="1" x14ac:dyDescent="0.25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</row>
    <row r="14" spans="1:16" ht="15.75" customHeight="1" x14ac:dyDescent="0.25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</row>
    <row r="15" spans="1:16" ht="15.75" customHeight="1" x14ac:dyDescent="0.25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</row>
    <row r="16" spans="1:16" ht="15.75" customHeight="1" x14ac:dyDescent="0.25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</row>
    <row r="17" spans="1:6" ht="15.75" customHeight="1" x14ac:dyDescent="0.25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 ht="15.75" customHeight="1" x14ac:dyDescent="0.25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</row>
    <row r="19" spans="1:6" ht="15.75" customHeight="1" x14ac:dyDescent="0.25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 ht="15.75" customHeight="1" x14ac:dyDescent="0.25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 ht="15.75" customHeight="1" x14ac:dyDescent="0.25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</row>
    <row r="22" spans="1:6" ht="15.75" customHeight="1" x14ac:dyDescent="0.25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 ht="15.75" customHeight="1" x14ac:dyDescent="0.25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 ht="15.75" customHeight="1" x14ac:dyDescent="0.25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</row>
    <row r="25" spans="1:6" ht="15.75" customHeight="1" x14ac:dyDescent="0.25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 ht="15.75" customHeight="1" x14ac:dyDescent="0.25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 ht="15.75" customHeight="1" x14ac:dyDescent="0.25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</row>
    <row r="28" spans="1:6" ht="15.75" customHeight="1" x14ac:dyDescent="0.25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 ht="15.75" customHeight="1" x14ac:dyDescent="0.25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</row>
    <row r="30" spans="1:6" ht="15.75" customHeight="1" x14ac:dyDescent="0.25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 ht="15.75" customHeight="1" x14ac:dyDescent="0.25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 ht="15.75" customHeight="1" x14ac:dyDescent="0.25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 ht="15.75" customHeight="1" x14ac:dyDescent="0.25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 ht="15.75" customHeight="1" x14ac:dyDescent="0.25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 ht="15.75" customHeight="1" x14ac:dyDescent="0.25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9B18E-8437-4AFE-A6BB-2FEAFFA2D455}">
  <dimension ref="A1:U996"/>
  <sheetViews>
    <sheetView tabSelected="1" workbookViewId="0">
      <selection activeCell="E6" sqref="E6"/>
    </sheetView>
  </sheetViews>
  <sheetFormatPr defaultColWidth="12.6640625" defaultRowHeight="13.2" x14ac:dyDescent="0.25"/>
  <cols>
    <col min="2" max="2" width="13.6640625" bestFit="1" customWidth="1"/>
    <col min="7" max="7" width="17" bestFit="1" customWidth="1"/>
    <col min="8" max="8" width="13.33203125" bestFit="1" customWidth="1"/>
    <col min="9" max="9" width="21.44140625" bestFit="1" customWidth="1"/>
  </cols>
  <sheetData>
    <row r="1" spans="1:21" ht="53.4" thickBot="1" x14ac:dyDescent="0.3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137</v>
      </c>
      <c r="H1" s="9" t="s">
        <v>138</v>
      </c>
      <c r="I1" s="9" t="s">
        <v>140</v>
      </c>
      <c r="J1" s="24" t="s">
        <v>174</v>
      </c>
      <c r="K1" s="24" t="s">
        <v>175</v>
      </c>
      <c r="L1" s="19" t="s">
        <v>143</v>
      </c>
    </row>
    <row r="2" spans="1:21" ht="15.75" customHeight="1" x14ac:dyDescent="0.25">
      <c r="A2" s="10" t="s">
        <v>25</v>
      </c>
      <c r="B2" s="10" t="s">
        <v>61</v>
      </c>
      <c r="C2" s="10" t="s">
        <v>27</v>
      </c>
      <c r="D2" s="20">
        <v>1000</v>
      </c>
      <c r="E2" s="10">
        <v>30</v>
      </c>
      <c r="F2" s="10" t="s">
        <v>28</v>
      </c>
      <c r="G2" s="10" t="str">
        <f>LEFT(A2,6)</f>
        <v>28-JAN</v>
      </c>
      <c r="H2" s="10" t="str">
        <f>RIGHT(A2,2)</f>
        <v>US</v>
      </c>
      <c r="I2" s="10" t="str">
        <f>B2&amp;" "&amp;C2</f>
        <v>Laptop Dell</v>
      </c>
      <c r="J2" s="23" t="s">
        <v>144</v>
      </c>
      <c r="K2" s="10">
        <v>2026</v>
      </c>
      <c r="L2" s="10" t="str">
        <f>J2&amp;"-"&amp;K2</f>
        <v>28-JAN-2026</v>
      </c>
      <c r="N2" s="14" t="s">
        <v>116</v>
      </c>
      <c r="O2" s="14"/>
    </row>
    <row r="3" spans="1:21" ht="15.75" customHeight="1" x14ac:dyDescent="0.25">
      <c r="A3" s="11" t="s">
        <v>29</v>
      </c>
      <c r="B3" s="11" t="s">
        <v>30</v>
      </c>
      <c r="C3" s="11" t="s">
        <v>31</v>
      </c>
      <c r="D3" s="21">
        <v>80</v>
      </c>
      <c r="E3" s="11">
        <v>15</v>
      </c>
      <c r="F3" s="11" t="s">
        <v>32</v>
      </c>
      <c r="G3" s="10" t="str">
        <f t="shared" ref="G3:G32" si="0">LEFT(A3,6)</f>
        <v>15-FEB</v>
      </c>
      <c r="H3" s="10" t="str">
        <f>RIGHT(A3,2)</f>
        <v>US</v>
      </c>
      <c r="I3" s="10" t="str">
        <f t="shared" ref="I3:I32" si="1">B3&amp;" "&amp;C3</f>
        <v>Sneakers Nike</v>
      </c>
      <c r="J3" s="23" t="s">
        <v>145</v>
      </c>
      <c r="K3" s="10">
        <v>2026</v>
      </c>
      <c r="L3" s="10" t="str">
        <f t="shared" ref="L3:L32" si="2">J3&amp;"-"&amp;K3</f>
        <v>15-FEB-2026</v>
      </c>
      <c r="N3" s="12"/>
      <c r="O3" s="12"/>
      <c r="P3" s="6"/>
      <c r="Q3" s="6"/>
      <c r="R3" s="6"/>
      <c r="S3" s="6"/>
      <c r="T3" s="6"/>
      <c r="U3" s="6"/>
    </row>
    <row r="4" spans="1:21" ht="15.75" customHeight="1" x14ac:dyDescent="0.3">
      <c r="A4" s="10" t="s">
        <v>33</v>
      </c>
      <c r="B4" s="10" t="s">
        <v>34</v>
      </c>
      <c r="C4" s="10" t="s">
        <v>35</v>
      </c>
      <c r="D4" s="20">
        <v>130</v>
      </c>
      <c r="E4" s="10">
        <v>40</v>
      </c>
      <c r="F4" s="10" t="s">
        <v>36</v>
      </c>
      <c r="G4" s="10" t="str">
        <f t="shared" si="0"/>
        <v>03-MAR</v>
      </c>
      <c r="H4" s="10" t="str">
        <f>RIGHT(A4,2)</f>
        <v>US</v>
      </c>
      <c r="I4" s="10" t="str">
        <f t="shared" si="1"/>
        <v>Coffee Maker Keurig</v>
      </c>
      <c r="J4" s="23" t="s">
        <v>146</v>
      </c>
      <c r="K4" s="10">
        <v>2026</v>
      </c>
      <c r="L4" s="10" t="str">
        <f t="shared" si="2"/>
        <v>03-MAR-2026</v>
      </c>
      <c r="N4" s="12" t="s">
        <v>117</v>
      </c>
      <c r="O4" s="12">
        <v>309.35483870967744</v>
      </c>
      <c r="P4" s="7"/>
      <c r="Q4" s="6"/>
      <c r="R4" s="6"/>
      <c r="S4" s="6"/>
      <c r="T4" s="6"/>
      <c r="U4" s="6"/>
    </row>
    <row r="5" spans="1:21" ht="15.75" customHeight="1" x14ac:dyDescent="0.3">
      <c r="A5" s="11" t="s">
        <v>37</v>
      </c>
      <c r="B5" s="11" t="s">
        <v>96</v>
      </c>
      <c r="C5" s="11" t="s">
        <v>39</v>
      </c>
      <c r="D5" s="21">
        <v>900</v>
      </c>
      <c r="E5" s="11">
        <v>25</v>
      </c>
      <c r="F5" s="11" t="s">
        <v>28</v>
      </c>
      <c r="G5" s="10" t="str">
        <f t="shared" si="0"/>
        <v>11-APR</v>
      </c>
      <c r="H5" s="10" t="str">
        <f>RIGHT(A5,2)</f>
        <v>US</v>
      </c>
      <c r="I5" s="10" t="str">
        <f t="shared" si="1"/>
        <v>Smartphone Samsung</v>
      </c>
      <c r="J5" s="23" t="s">
        <v>147</v>
      </c>
      <c r="K5" s="10">
        <v>2026</v>
      </c>
      <c r="L5" s="10" t="str">
        <f t="shared" si="2"/>
        <v>11-APR-2026</v>
      </c>
      <c r="N5" s="12" t="s">
        <v>118</v>
      </c>
      <c r="O5" s="12">
        <v>61.253809157605353</v>
      </c>
      <c r="P5" s="7"/>
      <c r="Q5" s="6"/>
      <c r="R5" s="6"/>
      <c r="S5" s="6"/>
      <c r="T5" s="6"/>
      <c r="U5" s="6"/>
    </row>
    <row r="6" spans="1:21" ht="15.75" customHeight="1" x14ac:dyDescent="0.25">
      <c r="A6" s="10" t="s">
        <v>40</v>
      </c>
      <c r="B6" s="10" t="s">
        <v>41</v>
      </c>
      <c r="C6" s="10" t="s">
        <v>42</v>
      </c>
      <c r="D6" s="20">
        <v>70</v>
      </c>
      <c r="E6" s="10">
        <v>20</v>
      </c>
      <c r="F6" s="11" t="s">
        <v>75</v>
      </c>
      <c r="G6" s="10" t="str">
        <f t="shared" si="0"/>
        <v>22-MAY</v>
      </c>
      <c r="H6" s="10" t="str">
        <f>RIGHT(A6,2)</f>
        <v>US</v>
      </c>
      <c r="I6" s="10" t="str">
        <f t="shared" si="1"/>
        <v>Backpack North Face</v>
      </c>
      <c r="J6" s="23" t="s">
        <v>148</v>
      </c>
      <c r="K6" s="10">
        <v>2026</v>
      </c>
      <c r="L6" s="10" t="str">
        <f t="shared" si="2"/>
        <v>22-MAY-2026</v>
      </c>
      <c r="N6" s="12" t="s">
        <v>119</v>
      </c>
      <c r="O6" s="12">
        <v>130</v>
      </c>
    </row>
    <row r="7" spans="1:21" ht="15.75" customHeight="1" x14ac:dyDescent="0.25">
      <c r="A7" s="11" t="s">
        <v>43</v>
      </c>
      <c r="B7" s="11" t="s">
        <v>44</v>
      </c>
      <c r="C7" s="11" t="s">
        <v>45</v>
      </c>
      <c r="D7" s="21">
        <v>130</v>
      </c>
      <c r="E7" s="11">
        <v>45</v>
      </c>
      <c r="F7" s="11" t="s">
        <v>28</v>
      </c>
      <c r="G7" s="10" t="str">
        <f t="shared" si="0"/>
        <v>07-JUN</v>
      </c>
      <c r="H7" s="10" t="str">
        <f>RIGHT(A7,2)</f>
        <v>UK</v>
      </c>
      <c r="I7" s="10" t="str">
        <f t="shared" si="1"/>
        <v>Headphones Sony</v>
      </c>
      <c r="J7" s="23" t="s">
        <v>149</v>
      </c>
      <c r="K7" s="10">
        <v>2026</v>
      </c>
      <c r="L7" s="10" t="str">
        <f t="shared" si="2"/>
        <v>07-JUN-2026</v>
      </c>
      <c r="N7" s="12" t="s">
        <v>120</v>
      </c>
      <c r="O7" s="12">
        <v>130</v>
      </c>
    </row>
    <row r="8" spans="1:21" ht="15.75" customHeight="1" x14ac:dyDescent="0.25">
      <c r="A8" s="10" t="s">
        <v>47</v>
      </c>
      <c r="B8" s="10" t="s">
        <v>48</v>
      </c>
      <c r="C8" s="10" t="s">
        <v>49</v>
      </c>
      <c r="D8" s="20">
        <v>30</v>
      </c>
      <c r="E8" s="10">
        <v>5</v>
      </c>
      <c r="F8" s="10" t="s">
        <v>32</v>
      </c>
      <c r="G8" s="10" t="str">
        <f t="shared" si="0"/>
        <v>19-JUL</v>
      </c>
      <c r="H8" s="10" t="str">
        <f>RIGHT(A8,2)</f>
        <v>UK</v>
      </c>
      <c r="I8" s="10" t="str">
        <f t="shared" si="1"/>
        <v>T-shirt Adidas</v>
      </c>
      <c r="J8" s="23" t="s">
        <v>150</v>
      </c>
      <c r="K8" s="10">
        <v>2026</v>
      </c>
      <c r="L8" s="10" t="str">
        <f t="shared" si="2"/>
        <v>19-JUL-2026</v>
      </c>
      <c r="N8" s="12" t="s">
        <v>121</v>
      </c>
      <c r="O8" s="12">
        <v>341.0467757153063</v>
      </c>
    </row>
    <row r="9" spans="1:21" ht="15.75" customHeight="1" x14ac:dyDescent="0.25">
      <c r="A9" s="11" t="s">
        <v>50</v>
      </c>
      <c r="B9" s="11" t="s">
        <v>51</v>
      </c>
      <c r="C9" s="11" t="s">
        <v>52</v>
      </c>
      <c r="D9" s="21">
        <v>90</v>
      </c>
      <c r="E9" s="11">
        <v>35</v>
      </c>
      <c r="F9" s="11" t="s">
        <v>36</v>
      </c>
      <c r="G9" s="10" t="str">
        <f t="shared" si="0"/>
        <v>23-AUG</v>
      </c>
      <c r="H9" s="10" t="str">
        <f>RIGHT(A9,2)</f>
        <v>UK</v>
      </c>
      <c r="I9" s="10" t="str">
        <f t="shared" si="1"/>
        <v>Blender Ninja</v>
      </c>
      <c r="J9" s="23" t="s">
        <v>151</v>
      </c>
      <c r="K9" s="10">
        <v>2026</v>
      </c>
      <c r="L9" s="10" t="str">
        <f t="shared" si="2"/>
        <v>23-AUG-2026</v>
      </c>
      <c r="N9" s="12" t="s">
        <v>122</v>
      </c>
      <c r="O9" s="12">
        <v>116312.90322580645</v>
      </c>
    </row>
    <row r="10" spans="1:21" ht="15.75" customHeight="1" x14ac:dyDescent="0.25">
      <c r="A10" s="10" t="s">
        <v>53</v>
      </c>
      <c r="B10" s="10" t="s">
        <v>54</v>
      </c>
      <c r="C10" s="10" t="s">
        <v>55</v>
      </c>
      <c r="D10" s="20">
        <v>500</v>
      </c>
      <c r="E10" s="10">
        <v>50</v>
      </c>
      <c r="F10" s="10" t="s">
        <v>28</v>
      </c>
      <c r="G10" s="10" t="str">
        <f t="shared" si="0"/>
        <v>05-SEP</v>
      </c>
      <c r="H10" s="10" t="str">
        <f>RIGHT(A10,2)</f>
        <v>UK</v>
      </c>
      <c r="I10" s="10" t="str">
        <f t="shared" si="1"/>
        <v>Tablet Apple</v>
      </c>
      <c r="J10" s="23" t="s">
        <v>152</v>
      </c>
      <c r="K10" s="10">
        <v>2026</v>
      </c>
      <c r="L10" s="10" t="str">
        <f t="shared" si="2"/>
        <v>05-SEP-2026</v>
      </c>
      <c r="N10" s="12" t="s">
        <v>123</v>
      </c>
      <c r="O10" s="12">
        <v>-0.24866780587865511</v>
      </c>
    </row>
    <row r="11" spans="1:21" ht="15.75" customHeight="1" x14ac:dyDescent="0.25">
      <c r="A11" s="11" t="s">
        <v>56</v>
      </c>
      <c r="B11" s="11" t="s">
        <v>57</v>
      </c>
      <c r="C11" s="11" t="s">
        <v>58</v>
      </c>
      <c r="D11" s="21">
        <v>130</v>
      </c>
      <c r="E11" s="11">
        <v>10</v>
      </c>
      <c r="F11" s="11" t="s">
        <v>59</v>
      </c>
      <c r="G11" s="10" t="str">
        <f t="shared" si="0"/>
        <v>14-OCT</v>
      </c>
      <c r="H11" s="10" t="str">
        <f>RIGHT(A11,2)</f>
        <v>UK</v>
      </c>
      <c r="I11" s="10" t="str">
        <f t="shared" si="1"/>
        <v>Hiking Boots Timberland</v>
      </c>
      <c r="J11" s="23" t="s">
        <v>153</v>
      </c>
      <c r="K11" s="10">
        <v>2026</v>
      </c>
      <c r="L11" s="10" t="str">
        <f t="shared" si="2"/>
        <v>14-OCT-2026</v>
      </c>
      <c r="N11" s="12" t="s">
        <v>124</v>
      </c>
      <c r="O11" s="12">
        <v>1.1956659587100953</v>
      </c>
    </row>
    <row r="12" spans="1:21" ht="15.75" customHeight="1" x14ac:dyDescent="0.25">
      <c r="A12" s="10" t="s">
        <v>60</v>
      </c>
      <c r="B12" s="10" t="s">
        <v>61</v>
      </c>
      <c r="C12" s="10" t="s">
        <v>62</v>
      </c>
      <c r="D12" s="20">
        <v>950</v>
      </c>
      <c r="E12" s="10">
        <v>25</v>
      </c>
      <c r="F12" s="10" t="s">
        <v>28</v>
      </c>
      <c r="G12" s="10" t="str">
        <f t="shared" si="0"/>
        <v>17-JUN</v>
      </c>
      <c r="H12" s="10" t="str">
        <f>RIGHT(A12,2)</f>
        <v>IN</v>
      </c>
      <c r="I12" s="10" t="str">
        <f t="shared" si="1"/>
        <v>Laptop HP</v>
      </c>
      <c r="J12" s="23" t="s">
        <v>154</v>
      </c>
      <c r="K12" s="10">
        <v>2026</v>
      </c>
      <c r="L12" s="10" t="str">
        <f t="shared" si="2"/>
        <v>17-JUN-2026</v>
      </c>
      <c r="N12" s="12" t="s">
        <v>125</v>
      </c>
      <c r="O12" s="12">
        <v>970</v>
      </c>
    </row>
    <row r="13" spans="1:21" ht="15.75" customHeight="1" x14ac:dyDescent="0.25">
      <c r="A13" s="11" t="s">
        <v>63</v>
      </c>
      <c r="B13" s="11" t="s">
        <v>30</v>
      </c>
      <c r="C13" s="11" t="s">
        <v>49</v>
      </c>
      <c r="D13" s="21">
        <v>90</v>
      </c>
      <c r="E13" s="11">
        <v>40</v>
      </c>
      <c r="F13" s="11" t="s">
        <v>32</v>
      </c>
      <c r="G13" s="10" t="str">
        <f t="shared" si="0"/>
        <v>25-NOV</v>
      </c>
      <c r="H13" s="10" t="str">
        <f>RIGHT(A13,2)</f>
        <v>AU</v>
      </c>
      <c r="I13" s="10" t="str">
        <f t="shared" si="1"/>
        <v>Sneakers Adidas</v>
      </c>
      <c r="J13" s="23" t="s">
        <v>155</v>
      </c>
      <c r="K13" s="10">
        <v>2026</v>
      </c>
      <c r="L13" s="10" t="str">
        <f t="shared" si="2"/>
        <v>25-NOV-2026</v>
      </c>
      <c r="N13" s="12" t="s">
        <v>126</v>
      </c>
      <c r="O13" s="12">
        <v>30</v>
      </c>
    </row>
    <row r="14" spans="1:21" ht="15.75" customHeight="1" x14ac:dyDescent="0.25">
      <c r="A14" s="10" t="s">
        <v>64</v>
      </c>
      <c r="B14" s="10" t="s">
        <v>34</v>
      </c>
      <c r="C14" s="10" t="s">
        <v>65</v>
      </c>
      <c r="D14" s="20">
        <v>120</v>
      </c>
      <c r="E14" s="10">
        <v>35</v>
      </c>
      <c r="F14" s="10" t="s">
        <v>36</v>
      </c>
      <c r="G14" s="10" t="str">
        <f t="shared" si="0"/>
        <v>08-DEC</v>
      </c>
      <c r="H14" s="10" t="str">
        <f>RIGHT(A14,2)</f>
        <v>DE</v>
      </c>
      <c r="I14" s="10" t="str">
        <f t="shared" si="1"/>
        <v>Coffee Maker Nespresso</v>
      </c>
      <c r="J14" s="23" t="s">
        <v>156</v>
      </c>
      <c r="K14" s="10">
        <v>2026</v>
      </c>
      <c r="L14" s="10" t="str">
        <f t="shared" si="2"/>
        <v>08-DEC-2026</v>
      </c>
      <c r="N14" s="12" t="s">
        <v>127</v>
      </c>
      <c r="O14" s="12">
        <v>1000</v>
      </c>
    </row>
    <row r="15" spans="1:21" ht="15.75" customHeight="1" x14ac:dyDescent="0.25">
      <c r="A15" s="11" t="s">
        <v>66</v>
      </c>
      <c r="B15" s="11" t="s">
        <v>67</v>
      </c>
      <c r="C15" s="11" t="s">
        <v>68</v>
      </c>
      <c r="D15" s="21">
        <v>150</v>
      </c>
      <c r="E15" s="11">
        <v>15</v>
      </c>
      <c r="F15" s="11" t="s">
        <v>28</v>
      </c>
      <c r="G15" s="10" t="str">
        <f t="shared" si="0"/>
        <v>18-FEB</v>
      </c>
      <c r="H15" s="10" t="str">
        <f>RIGHT(A15,2)</f>
        <v>CA</v>
      </c>
      <c r="I15" s="10" t="str">
        <f t="shared" si="1"/>
        <v>Smartwatch Fitbit</v>
      </c>
      <c r="J15" s="23" t="s">
        <v>157</v>
      </c>
      <c r="K15" s="10">
        <v>2026</v>
      </c>
      <c r="L15" s="10" t="str">
        <f t="shared" si="2"/>
        <v>18-FEB-2026</v>
      </c>
      <c r="N15" s="12" t="s">
        <v>128</v>
      </c>
      <c r="O15" s="12">
        <v>9590</v>
      </c>
    </row>
    <row r="16" spans="1:21" ht="15.75" customHeight="1" thickBot="1" x14ac:dyDescent="0.3">
      <c r="A16" s="10" t="s">
        <v>69</v>
      </c>
      <c r="B16" s="10" t="s">
        <v>44</v>
      </c>
      <c r="C16" s="10" t="s">
        <v>71</v>
      </c>
      <c r="D16" s="20">
        <v>250</v>
      </c>
      <c r="E16" s="10">
        <v>20</v>
      </c>
      <c r="F16" s="10" t="s">
        <v>28</v>
      </c>
      <c r="G16" s="10" t="str">
        <f t="shared" si="0"/>
        <v>16-APR</v>
      </c>
      <c r="H16" s="10" t="str">
        <f>RIGHT(A16,2)</f>
        <v>ES</v>
      </c>
      <c r="I16" s="10" t="str">
        <f t="shared" si="1"/>
        <v>Headphones Bose</v>
      </c>
      <c r="J16" s="23" t="s">
        <v>158</v>
      </c>
      <c r="K16" s="10">
        <v>2026</v>
      </c>
      <c r="L16" s="10" t="str">
        <f t="shared" si="2"/>
        <v>16-APR-2026</v>
      </c>
      <c r="N16" s="13" t="s">
        <v>129</v>
      </c>
      <c r="O16" s="13">
        <v>31</v>
      </c>
    </row>
    <row r="17" spans="1:12" ht="15.75" customHeight="1" x14ac:dyDescent="0.25">
      <c r="A17" s="11" t="s">
        <v>72</v>
      </c>
      <c r="B17" s="11" t="s">
        <v>73</v>
      </c>
      <c r="C17" s="11" t="s">
        <v>74</v>
      </c>
      <c r="D17" s="21">
        <v>50</v>
      </c>
      <c r="E17" s="11">
        <v>35</v>
      </c>
      <c r="F17" s="11" t="s">
        <v>75</v>
      </c>
      <c r="G17" s="10" t="str">
        <f t="shared" si="0"/>
        <v>21-AUG</v>
      </c>
      <c r="H17" s="10" t="str">
        <f>RIGHT(A17,2)</f>
        <v>CA</v>
      </c>
      <c r="I17" s="10" t="str">
        <f t="shared" si="1"/>
        <v>Laptop Bag Samsonite</v>
      </c>
      <c r="J17" s="23" t="s">
        <v>159</v>
      </c>
      <c r="K17" s="10">
        <v>2026</v>
      </c>
      <c r="L17" s="10" t="str">
        <f t="shared" si="2"/>
        <v>21-AUG-2026</v>
      </c>
    </row>
    <row r="18" spans="1:12" ht="15.75" customHeight="1" x14ac:dyDescent="0.25">
      <c r="A18" s="10" t="s">
        <v>76</v>
      </c>
      <c r="B18" s="10" t="s">
        <v>67</v>
      </c>
      <c r="C18" s="10" t="s">
        <v>77</v>
      </c>
      <c r="D18" s="20">
        <v>160</v>
      </c>
      <c r="E18" s="10">
        <v>15</v>
      </c>
      <c r="F18" s="10" t="s">
        <v>28</v>
      </c>
      <c r="G18" s="10" t="str">
        <f t="shared" si="0"/>
        <v>20-AUG</v>
      </c>
      <c r="H18" s="10" t="str">
        <f>RIGHT(A18,2)</f>
        <v>CN</v>
      </c>
      <c r="I18" s="10" t="str">
        <f t="shared" si="1"/>
        <v>Smartwatch Huawei</v>
      </c>
      <c r="J18" s="23" t="s">
        <v>160</v>
      </c>
      <c r="K18" s="10">
        <v>2026</v>
      </c>
      <c r="L18" s="10" t="str">
        <f t="shared" si="2"/>
        <v>20-AUG-2026</v>
      </c>
    </row>
    <row r="19" spans="1:12" ht="15.75" customHeight="1" x14ac:dyDescent="0.25">
      <c r="A19" s="11" t="s">
        <v>78</v>
      </c>
      <c r="B19" s="11" t="s">
        <v>61</v>
      </c>
      <c r="C19" s="11" t="s">
        <v>79</v>
      </c>
      <c r="D19" s="21">
        <v>980</v>
      </c>
      <c r="E19" s="11">
        <v>10</v>
      </c>
      <c r="F19" s="11" t="s">
        <v>28</v>
      </c>
      <c r="G19" s="10" t="str">
        <f t="shared" si="0"/>
        <v>27-JAN</v>
      </c>
      <c r="H19" s="10" t="str">
        <f>RIGHT(A19,2)</f>
        <v>IT</v>
      </c>
      <c r="I19" s="10" t="str">
        <f t="shared" si="1"/>
        <v>Laptop Asus</v>
      </c>
      <c r="J19" s="23" t="s">
        <v>161</v>
      </c>
      <c r="K19" s="10">
        <v>2026</v>
      </c>
      <c r="L19" s="10" t="str">
        <f t="shared" si="2"/>
        <v>27-JAN-2026</v>
      </c>
    </row>
    <row r="20" spans="1:12" ht="15.75" customHeight="1" x14ac:dyDescent="0.25">
      <c r="A20" s="10" t="s">
        <v>80</v>
      </c>
      <c r="B20" s="10" t="s">
        <v>81</v>
      </c>
      <c r="C20" s="10" t="s">
        <v>82</v>
      </c>
      <c r="D20" s="20">
        <v>150</v>
      </c>
      <c r="E20" s="10">
        <v>15</v>
      </c>
      <c r="F20" s="10" t="s">
        <v>32</v>
      </c>
      <c r="G20" s="10" t="str">
        <f t="shared" si="0"/>
        <v>01-MAR</v>
      </c>
      <c r="H20" s="10" t="str">
        <f>RIGHT(A20,2)</f>
        <v>UK</v>
      </c>
      <c r="I20" s="10" t="str">
        <f t="shared" si="1"/>
        <v>Sunglasses Oakley</v>
      </c>
      <c r="J20" s="23" t="s">
        <v>162</v>
      </c>
      <c r="K20" s="10">
        <v>2026</v>
      </c>
      <c r="L20" s="10" t="str">
        <f t="shared" si="2"/>
        <v>01-MAR-2026</v>
      </c>
    </row>
    <row r="21" spans="1:12" ht="15.75" customHeight="1" x14ac:dyDescent="0.25">
      <c r="A21" s="11" t="s">
        <v>83</v>
      </c>
      <c r="B21" s="11" t="s">
        <v>84</v>
      </c>
      <c r="C21" s="11" t="s">
        <v>85</v>
      </c>
      <c r="D21" s="21">
        <v>130</v>
      </c>
      <c r="E21" s="11">
        <v>10</v>
      </c>
      <c r="F21" s="11" t="s">
        <v>59</v>
      </c>
      <c r="G21" s="10" t="str">
        <f t="shared" si="0"/>
        <v>14-AUG</v>
      </c>
      <c r="H21" s="10" t="str">
        <f>RIGHT(A21,2)</f>
        <v>US</v>
      </c>
      <c r="I21" s="10" t="str">
        <f t="shared" si="1"/>
        <v>Camping Tent Coleman</v>
      </c>
      <c r="J21" s="23" t="s">
        <v>163</v>
      </c>
      <c r="K21" s="10">
        <v>2026</v>
      </c>
      <c r="L21" s="10" t="str">
        <f t="shared" si="2"/>
        <v>14-AUG-2026</v>
      </c>
    </row>
    <row r="22" spans="1:12" ht="15.75" customHeight="1" x14ac:dyDescent="0.25">
      <c r="A22" s="10" t="s">
        <v>86</v>
      </c>
      <c r="B22" s="10" t="s">
        <v>87</v>
      </c>
      <c r="C22" s="10" t="s">
        <v>88</v>
      </c>
      <c r="D22" s="20">
        <v>700</v>
      </c>
      <c r="E22" s="10">
        <v>50</v>
      </c>
      <c r="F22" s="10" t="s">
        <v>28</v>
      </c>
      <c r="G22" s="10" t="str">
        <f t="shared" si="0"/>
        <v>14-MAY</v>
      </c>
      <c r="H22" s="10" t="str">
        <f>RIGHT(A22,2)</f>
        <v>RU</v>
      </c>
      <c r="I22" s="10" t="str">
        <f t="shared" si="1"/>
        <v>Camera Nikon</v>
      </c>
      <c r="J22" s="23" t="s">
        <v>164</v>
      </c>
      <c r="K22" s="10">
        <v>2026</v>
      </c>
      <c r="L22" s="10" t="str">
        <f t="shared" si="2"/>
        <v>14-MAY-2026</v>
      </c>
    </row>
    <row r="23" spans="1:12" ht="15.75" customHeight="1" x14ac:dyDescent="0.25">
      <c r="A23" s="11" t="s">
        <v>89</v>
      </c>
      <c r="B23" s="11" t="s">
        <v>90</v>
      </c>
      <c r="C23" s="11" t="s">
        <v>91</v>
      </c>
      <c r="D23" s="21">
        <v>80</v>
      </c>
      <c r="E23" s="11">
        <v>20</v>
      </c>
      <c r="F23" s="11" t="s">
        <v>36</v>
      </c>
      <c r="G23" s="10" t="str">
        <f t="shared" si="0"/>
        <v>09-JAN</v>
      </c>
      <c r="H23" s="10" t="str">
        <f>RIGHT(A23,2)</f>
        <v>CA</v>
      </c>
      <c r="I23" s="10" t="str">
        <f t="shared" si="1"/>
        <v>Microwave Panasonic</v>
      </c>
      <c r="J23" s="23" t="s">
        <v>165</v>
      </c>
      <c r="K23" s="10">
        <v>2026</v>
      </c>
      <c r="L23" s="10" t="str">
        <f t="shared" si="2"/>
        <v>09-JAN-2026</v>
      </c>
    </row>
    <row r="24" spans="1:12" ht="15.75" customHeight="1" x14ac:dyDescent="0.25">
      <c r="A24" s="10" t="s">
        <v>92</v>
      </c>
      <c r="B24" s="10" t="s">
        <v>93</v>
      </c>
      <c r="C24" s="10" t="s">
        <v>94</v>
      </c>
      <c r="D24" s="20">
        <v>150</v>
      </c>
      <c r="E24" s="10">
        <v>30</v>
      </c>
      <c r="F24" s="10" t="s">
        <v>28</v>
      </c>
      <c r="G24" s="10" t="str">
        <f t="shared" si="0"/>
        <v>19-JUL</v>
      </c>
      <c r="H24" s="10" t="str">
        <f>RIGHT(A24,2)</f>
        <v>BR</v>
      </c>
      <c r="I24" s="10" t="str">
        <f t="shared" si="1"/>
        <v>Fitness Tracker Xiaomi</v>
      </c>
      <c r="J24" s="23" t="s">
        <v>150</v>
      </c>
      <c r="K24" s="10">
        <v>2026</v>
      </c>
      <c r="L24" s="10" t="str">
        <f t="shared" si="2"/>
        <v>19-JUL-2026</v>
      </c>
    </row>
    <row r="25" spans="1:12" ht="15.75" customHeight="1" x14ac:dyDescent="0.25">
      <c r="A25" s="10" t="s">
        <v>95</v>
      </c>
      <c r="B25" s="10" t="s">
        <v>96</v>
      </c>
      <c r="C25" s="10" t="s">
        <v>97</v>
      </c>
      <c r="D25" s="20">
        <v>800</v>
      </c>
      <c r="E25" s="10">
        <v>45</v>
      </c>
      <c r="F25" s="10" t="s">
        <v>28</v>
      </c>
      <c r="G25" s="10" t="str">
        <f t="shared" si="0"/>
        <v>29-SEP</v>
      </c>
      <c r="H25" s="10" t="str">
        <f>RIGHT(A25,2)</f>
        <v>CA</v>
      </c>
      <c r="I25" s="10" t="str">
        <f t="shared" si="1"/>
        <v>Smartphone Google</v>
      </c>
      <c r="J25" s="23" t="s">
        <v>166</v>
      </c>
      <c r="K25" s="10">
        <v>2026</v>
      </c>
      <c r="L25" s="10" t="str">
        <f t="shared" si="2"/>
        <v>29-SEP-2026</v>
      </c>
    </row>
    <row r="26" spans="1:12" ht="15.75" customHeight="1" x14ac:dyDescent="0.25">
      <c r="A26" s="11" t="s">
        <v>98</v>
      </c>
      <c r="B26" s="11" t="s">
        <v>81</v>
      </c>
      <c r="C26" s="11" t="s">
        <v>99</v>
      </c>
      <c r="D26" s="21">
        <v>130</v>
      </c>
      <c r="E26" s="11">
        <v>25</v>
      </c>
      <c r="F26" s="11" t="s">
        <v>32</v>
      </c>
      <c r="G26" s="10" t="str">
        <f t="shared" si="0"/>
        <v>03-JUN</v>
      </c>
      <c r="H26" s="10" t="str">
        <f>RIGHT(A26,2)</f>
        <v>CA</v>
      </c>
      <c r="I26" s="10" t="str">
        <f t="shared" si="1"/>
        <v>Sunglasses Ray-Ban</v>
      </c>
      <c r="J26" s="23" t="s">
        <v>167</v>
      </c>
      <c r="K26" s="10">
        <v>2026</v>
      </c>
      <c r="L26" s="10" t="str">
        <f t="shared" si="2"/>
        <v>03-JUN-2026</v>
      </c>
    </row>
    <row r="27" spans="1:12" ht="15.75" customHeight="1" x14ac:dyDescent="0.25">
      <c r="A27" s="10" t="s">
        <v>100</v>
      </c>
      <c r="B27" s="10" t="s">
        <v>51</v>
      </c>
      <c r="C27" s="10" t="s">
        <v>101</v>
      </c>
      <c r="D27" s="20">
        <v>400</v>
      </c>
      <c r="E27" s="10">
        <v>40</v>
      </c>
      <c r="F27" s="10" t="s">
        <v>36</v>
      </c>
      <c r="G27" s="10" t="str">
        <f t="shared" si="0"/>
        <v>11-JUL</v>
      </c>
      <c r="H27" s="10" t="str">
        <f>RIGHT(A27,2)</f>
        <v>CA</v>
      </c>
      <c r="I27" s="10" t="str">
        <f t="shared" si="1"/>
        <v>Blender Vitamix</v>
      </c>
      <c r="J27" s="23" t="s">
        <v>168</v>
      </c>
      <c r="K27" s="10">
        <v>2026</v>
      </c>
      <c r="L27" s="10" t="str">
        <f t="shared" si="2"/>
        <v>11-JUL-2026</v>
      </c>
    </row>
    <row r="28" spans="1:12" ht="15.75" customHeight="1" x14ac:dyDescent="0.25">
      <c r="A28" s="10" t="s">
        <v>102</v>
      </c>
      <c r="B28" s="10" t="s">
        <v>103</v>
      </c>
      <c r="C28" s="10" t="s">
        <v>104</v>
      </c>
      <c r="D28" s="20">
        <v>60</v>
      </c>
      <c r="E28" s="10">
        <v>30</v>
      </c>
      <c r="F28" s="10" t="s">
        <v>32</v>
      </c>
      <c r="G28" s="10" t="str">
        <f t="shared" si="0"/>
        <v>07-MAR</v>
      </c>
      <c r="H28" s="10" t="str">
        <f>RIGHT(A28,2)</f>
        <v>CA</v>
      </c>
      <c r="I28" s="10" t="str">
        <f t="shared" si="1"/>
        <v>Dress Zara</v>
      </c>
      <c r="J28" s="23" t="s">
        <v>169</v>
      </c>
      <c r="K28" s="10">
        <v>2026</v>
      </c>
      <c r="L28" s="10" t="str">
        <f t="shared" si="2"/>
        <v>07-MAR-2026</v>
      </c>
    </row>
    <row r="29" spans="1:12" ht="15.75" customHeight="1" x14ac:dyDescent="0.25">
      <c r="A29" s="11" t="s">
        <v>105</v>
      </c>
      <c r="B29" s="11" t="s">
        <v>106</v>
      </c>
      <c r="C29" s="11" t="s">
        <v>107</v>
      </c>
      <c r="D29" s="21">
        <v>40</v>
      </c>
      <c r="E29" s="11">
        <v>10</v>
      </c>
      <c r="F29" s="11" t="s">
        <v>36</v>
      </c>
      <c r="G29" s="10" t="str">
        <f t="shared" si="0"/>
        <v>13-APR</v>
      </c>
      <c r="H29" s="10" t="str">
        <f>RIGHT(A29,2)</f>
        <v>CA</v>
      </c>
      <c r="I29" s="10" t="str">
        <f t="shared" si="1"/>
        <v>Toaster Hamilton</v>
      </c>
      <c r="J29" s="23" t="s">
        <v>170</v>
      </c>
      <c r="K29" s="10">
        <v>2026</v>
      </c>
      <c r="L29" s="10" t="str">
        <f t="shared" si="2"/>
        <v>13-APR-2026</v>
      </c>
    </row>
    <row r="30" spans="1:12" ht="15.75" customHeight="1" x14ac:dyDescent="0.25">
      <c r="A30" s="10" t="s">
        <v>108</v>
      </c>
      <c r="B30" s="10" t="s">
        <v>93</v>
      </c>
      <c r="C30" s="10" t="s">
        <v>109</v>
      </c>
      <c r="D30" s="20">
        <v>130</v>
      </c>
      <c r="E30" s="10">
        <v>5</v>
      </c>
      <c r="F30" s="10" t="s">
        <v>28</v>
      </c>
      <c r="G30" s="10" t="str">
        <f t="shared" si="0"/>
        <v>24-MAY</v>
      </c>
      <c r="H30" s="10" t="str">
        <f>RIGHT(A30,2)</f>
        <v>CA</v>
      </c>
      <c r="I30" s="10" t="str">
        <f t="shared" si="1"/>
        <v>Fitness Tracker Garmin</v>
      </c>
      <c r="J30" s="23" t="s">
        <v>171</v>
      </c>
      <c r="K30" s="10">
        <v>2026</v>
      </c>
      <c r="L30" s="10" t="str">
        <f t="shared" si="2"/>
        <v>24-MAY-2026</v>
      </c>
    </row>
    <row r="31" spans="1:12" ht="15.75" customHeight="1" x14ac:dyDescent="0.25">
      <c r="A31" s="11" t="s">
        <v>110</v>
      </c>
      <c r="B31" s="11" t="s">
        <v>111</v>
      </c>
      <c r="C31" s="11" t="s">
        <v>112</v>
      </c>
      <c r="D31" s="21">
        <v>50</v>
      </c>
      <c r="E31" s="11">
        <v>50</v>
      </c>
      <c r="F31" s="11" t="s">
        <v>32</v>
      </c>
      <c r="G31" s="10" t="str">
        <f t="shared" si="0"/>
        <v>02-DEC</v>
      </c>
      <c r="H31" s="10" t="str">
        <f>RIGHT(A31,2)</f>
        <v>CA</v>
      </c>
      <c r="I31" s="10" t="str">
        <f t="shared" si="1"/>
        <v>Jeans Levi's</v>
      </c>
      <c r="J31" s="23" t="s">
        <v>172</v>
      </c>
      <c r="K31" s="10">
        <v>2026</v>
      </c>
      <c r="L31" s="10" t="str">
        <f t="shared" si="2"/>
        <v>02-DEC-2026</v>
      </c>
    </row>
    <row r="32" spans="1:12" ht="15.75" customHeight="1" x14ac:dyDescent="0.25">
      <c r="A32" s="11" t="s">
        <v>113</v>
      </c>
      <c r="B32" s="11" t="s">
        <v>114</v>
      </c>
      <c r="C32" s="11" t="s">
        <v>115</v>
      </c>
      <c r="D32" s="21">
        <v>100</v>
      </c>
      <c r="E32" s="11">
        <v>20</v>
      </c>
      <c r="F32" s="11" t="s">
        <v>75</v>
      </c>
      <c r="G32" s="10" t="str">
        <f t="shared" si="0"/>
        <v>09-JUL</v>
      </c>
      <c r="H32" s="10" t="str">
        <f>RIGHT(A32,2)</f>
        <v>FR</v>
      </c>
      <c r="I32" s="10" t="str">
        <f t="shared" si="1"/>
        <v>Watch Casio</v>
      </c>
      <c r="J32" s="23" t="s">
        <v>173</v>
      </c>
      <c r="K32" s="10">
        <v>2026</v>
      </c>
      <c r="L32" s="10" t="str">
        <f t="shared" si="2"/>
        <v>09-JUL-2026</v>
      </c>
    </row>
    <row r="33" spans="1:4" ht="15.75" customHeight="1" x14ac:dyDescent="0.25"/>
    <row r="34" spans="1:4" ht="15.75" customHeight="1" x14ac:dyDescent="0.25">
      <c r="A34" s="15" t="s">
        <v>130</v>
      </c>
    </row>
    <row r="35" spans="1:4" ht="15.75" customHeight="1" x14ac:dyDescent="0.25">
      <c r="A35" s="16">
        <v>1.1000000000000001</v>
      </c>
      <c r="B35" s="17" t="s">
        <v>131</v>
      </c>
      <c r="C35" s="17"/>
      <c r="D35" s="17"/>
    </row>
    <row r="36" spans="1:4" ht="15.75" customHeight="1" x14ac:dyDescent="0.25">
      <c r="A36" s="16">
        <v>1.2</v>
      </c>
      <c r="B36" s="15" t="s">
        <v>132</v>
      </c>
    </row>
    <row r="37" spans="1:4" ht="15.75" customHeight="1" x14ac:dyDescent="0.25">
      <c r="A37" s="16">
        <v>2.1</v>
      </c>
      <c r="B37" s="15" t="s">
        <v>133</v>
      </c>
    </row>
    <row r="38" spans="1:4" ht="15.75" customHeight="1" x14ac:dyDescent="0.25">
      <c r="A38" s="16">
        <v>2.2000000000000002</v>
      </c>
      <c r="B38" s="15" t="s">
        <v>134</v>
      </c>
    </row>
    <row r="39" spans="1:4" ht="15.75" customHeight="1" x14ac:dyDescent="0.25">
      <c r="A39" s="16">
        <v>2.2999999999999998</v>
      </c>
      <c r="B39" s="15" t="s">
        <v>135</v>
      </c>
    </row>
    <row r="40" spans="1:4" ht="15.75" customHeight="1" x14ac:dyDescent="0.25">
      <c r="A40" s="16">
        <v>3.1</v>
      </c>
      <c r="B40" s="15" t="s">
        <v>136</v>
      </c>
    </row>
    <row r="41" spans="1:4" ht="15.75" customHeight="1" x14ac:dyDescent="0.25">
      <c r="A41" s="16">
        <v>4.0999999999999996</v>
      </c>
      <c r="B41" s="15" t="s">
        <v>139</v>
      </c>
    </row>
    <row r="42" spans="1:4" ht="15.75" customHeight="1" x14ac:dyDescent="0.25">
      <c r="A42" s="16">
        <v>4.2</v>
      </c>
      <c r="B42" s="15" t="s">
        <v>141</v>
      </c>
    </row>
    <row r="43" spans="1:4" ht="15.75" customHeight="1" x14ac:dyDescent="0.25">
      <c r="A43" s="16">
        <v>5.0999999999999996</v>
      </c>
      <c r="B43" s="15" t="s">
        <v>142</v>
      </c>
    </row>
    <row r="44" spans="1:4" ht="15.75" customHeight="1" x14ac:dyDescent="0.25">
      <c r="A44" s="16">
        <v>5.2</v>
      </c>
      <c r="B44" s="15" t="s">
        <v>176</v>
      </c>
    </row>
    <row r="45" spans="1:4" ht="15.75" customHeight="1" x14ac:dyDescent="0.25">
      <c r="A45" s="16">
        <v>6.1</v>
      </c>
      <c r="B45" s="15" t="s">
        <v>177</v>
      </c>
    </row>
    <row r="46" spans="1:4" ht="15.75" customHeight="1" x14ac:dyDescent="0.25">
      <c r="A46" s="16">
        <v>6.2</v>
      </c>
      <c r="B46" s="15" t="s">
        <v>178</v>
      </c>
    </row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autoFilter ref="A1:AD1" xr:uid="{7919B18E-8437-4AFE-A6BB-2FEAFFA2D455}"/>
  <dataConsolidate/>
  <mergeCells count="1">
    <mergeCell ref="B35:D35"/>
  </mergeCells>
  <conditionalFormatting sqref="I2:I32">
    <cfRule type="duplicateValues" dxfId="1" priority="11"/>
  </conditionalFormatting>
  <conditionalFormatting sqref="D2:D3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{F7C58AA1-29A1-447A-A902-B5989FEAA3AA}</x14:id>
        </ext>
      </extLst>
    </cfRule>
  </conditionalFormatting>
  <conditionalFormatting sqref="F2:F32">
    <cfRule type="containsText" dxfId="0" priority="1" operator="containsText" text="Electronics">
      <formula>NOT(ISERROR(SEARCH("Electronics",F2)))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C58AA1-29A1-447A-A902-B5989FEAA3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Julius Paul</cp:lastModifiedBy>
  <dcterms:modified xsi:type="dcterms:W3CDTF">2026-10-04T09:03:23Z</dcterms:modified>
</cp:coreProperties>
</file>